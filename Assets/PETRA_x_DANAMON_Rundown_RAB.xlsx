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ETRA x DANAMON\Assets\"/>
    </mc:Choice>
  </mc:AlternateContent>
  <xr:revisionPtr revIDLastSave="0" documentId="13_ncr:9_{72C88A6C-A682-4FF0-8161-B177252F10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undown" sheetId="1" r:id="rId1"/>
    <sheet name="RAB" sheetId="2" r:id="rId2"/>
    <sheet name="Asum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2" l="1"/>
  <c r="C33" i="2"/>
  <c r="C32" i="2"/>
  <c r="B9" i="3"/>
  <c r="B5" i="3"/>
  <c r="F59" i="2"/>
  <c r="G55" i="2"/>
  <c r="C54" i="2"/>
  <c r="G54" i="2" s="1"/>
  <c r="G53" i="2"/>
  <c r="G49" i="2"/>
  <c r="G48" i="2"/>
  <c r="C47" i="2"/>
  <c r="G47" i="2" s="1"/>
  <c r="C46" i="2"/>
  <c r="G46" i="2" s="1"/>
  <c r="G42" i="2"/>
  <c r="G41" i="2"/>
  <c r="G40" i="2"/>
  <c r="C40" i="2"/>
  <c r="C39" i="2"/>
  <c r="G39" i="2" s="1"/>
  <c r="G38" i="2"/>
  <c r="G34" i="2"/>
  <c r="G33" i="2"/>
  <c r="G32" i="2"/>
  <c r="G35" i="2" s="1"/>
  <c r="C28" i="2"/>
  <c r="G28" i="2" s="1"/>
  <c r="C27" i="2"/>
  <c r="G27" i="2" s="1"/>
  <c r="G26" i="2"/>
  <c r="G25" i="2"/>
  <c r="G24" i="2"/>
  <c r="G20" i="2"/>
  <c r="C19" i="2"/>
  <c r="G19" i="2" s="1"/>
  <c r="C18" i="2"/>
  <c r="G18" i="2" s="1"/>
  <c r="C17" i="2"/>
  <c r="G17" i="2" s="1"/>
  <c r="G13" i="2"/>
  <c r="G12" i="2"/>
  <c r="G14" i="2" s="1"/>
  <c r="G11" i="2"/>
  <c r="E7" i="2"/>
  <c r="G7" i="2" s="1"/>
  <c r="E6" i="2"/>
  <c r="C6" i="2"/>
  <c r="G29" i="2" l="1"/>
  <c r="G56" i="2"/>
  <c r="G6" i="2"/>
  <c r="G8" i="2" s="1"/>
  <c r="G50" i="2"/>
  <c r="G43" i="2"/>
  <c r="G21" i="2"/>
  <c r="G58" i="2" l="1"/>
  <c r="G59" i="2"/>
  <c r="G60" i="2" s="1"/>
  <c r="G62" i="2" s="1"/>
  <c r="G63" i="2" s="1"/>
</calcChain>
</file>

<file path=xl/sharedStrings.xml><?xml version="1.0" encoding="utf-8"?>
<sst xmlns="http://schemas.openxmlformats.org/spreadsheetml/2006/main" count="393" uniqueCount="238">
  <si>
    <t>PETRA x DANAMON — International Banking Immersion Program</t>
  </si>
  <si>
    <t>RUNDOWN PROGRAM — 1 Minggu di Surabaya, Indonesia</t>
  </si>
  <si>
    <t>Hari</t>
  </si>
  <si>
    <t>Waktu</t>
  </si>
  <si>
    <t>Aktivitas</t>
  </si>
  <si>
    <t>Lokasi</t>
  </si>
  <si>
    <t>PIC</t>
  </si>
  <si>
    <t>Keterangan</t>
  </si>
  <si>
    <t>MINGGU — Day 0   |   ARRIVAL DAY</t>
  </si>
  <si>
    <t>MINGGU</t>
  </si>
  <si>
    <t>12.00–17.00</t>
  </si>
  <si>
    <t>Kedatangan peserta di Bandara Juanda (SUB)</t>
  </si>
  <si>
    <t>Bandara Juanda</t>
  </si>
  <si>
    <t>LO Team</t>
  </si>
  <si>
    <t>Penjemputan bertahap sesuai jadwal penerbangan</t>
  </si>
  <si>
    <t>17.00–18.00</t>
  </si>
  <si>
    <t>Transfer ke hotel &amp; check-in</t>
  </si>
  <si>
    <t>Hotel</t>
  </si>
  <si>
    <t>Pembagian kamar (twin share)</t>
  </si>
  <si>
    <t>18.30–20.00</t>
  </si>
  <si>
    <t>Welcome dinner ringan &amp; briefing program</t>
  </si>
  <si>
    <t>Panitia</t>
  </si>
  <si>
    <t>Pembagian buddy, name tag &amp; welcome kit</t>
  </si>
  <si>
    <t>20.00</t>
  </si>
  <si>
    <t>Istirahat</t>
  </si>
  <si>
    <t>—</t>
  </si>
  <si>
    <t>Free evening</t>
  </si>
  <si>
    <t>SENIN — Day 1   |   OPENING &amp; PERKENALAN</t>
  </si>
  <si>
    <t>SENIN</t>
  </si>
  <si>
    <t>08.00–08.30</t>
  </si>
  <si>
    <t>09.00–10.30</t>
  </si>
  <si>
    <t>Foto bersama &amp; press moment</t>
  </si>
  <si>
    <t>10.30–11.00</t>
  </si>
  <si>
    <t>Coffee break</t>
  </si>
  <si>
    <t>11.00–12.00</t>
  </si>
  <si>
    <t>Program overview &amp; ice breaking</t>
  </si>
  <si>
    <t>Fasilitator</t>
  </si>
  <si>
    <t>Penjelasan alur capstone</t>
  </si>
  <si>
    <t>12.00–13.00</t>
  </si>
  <si>
    <t>Lunch</t>
  </si>
  <si>
    <t>13.00–15.00</t>
  </si>
  <si>
    <t>Team building &amp; pembentukan kelompok capstone</t>
  </si>
  <si>
    <t>Peserta Jepang + lokal dicampur</t>
  </si>
  <si>
    <t>15.00–16.00</t>
  </si>
  <si>
    <t>Buddy time / pengenalan kampus ringan</t>
  </si>
  <si>
    <t>Buddy</t>
  </si>
  <si>
    <t>16.00</t>
  </si>
  <si>
    <t>Kembali ke hotel</t>
  </si>
  <si>
    <t>SELASA — Day 2   |   LECTURES (PETRA) + CAMPUS TOUR</t>
  </si>
  <si>
    <t>SELASA</t>
  </si>
  <si>
    <t>08.30–09.00</t>
  </si>
  <si>
    <t>Transfer ke kampus</t>
  </si>
  <si>
    <t>Lecture 1: Indonesian Economy &amp; Banking Ecosystem Overview</t>
  </si>
  <si>
    <t>10.30–10.45</t>
  </si>
  <si>
    <t>10.45–12.15</t>
  </si>
  <si>
    <t>Lecture 2: Financial System &amp; Business Management in Indonesia</t>
  </si>
  <si>
    <t>12.15–13.15</t>
  </si>
  <si>
    <t>13.15–15.00</t>
  </si>
  <si>
    <t>Buddy / LO</t>
  </si>
  <si>
    <t>Diskusi &amp; refleksi harian</t>
  </si>
  <si>
    <t>Progress check capstone</t>
  </si>
  <si>
    <t>RABU — Day 3   |   LECTURES (DANAMON) + SITE VISIT</t>
  </si>
  <si>
    <t>RABU</t>
  </si>
  <si>
    <t>08.00–08.45</t>
  </si>
  <si>
    <t>Transfer ke Kantor Bank Danamon</t>
  </si>
  <si>
    <t>Lecture: Digital Banking &amp; Indonesian Banking Industry</t>
  </si>
  <si>
    <t>Kantor Danamon</t>
  </si>
  <si>
    <t>Eksekutif Danamon</t>
  </si>
  <si>
    <t>Danamon</t>
  </si>
  <si>
    <t>10.45–12.00</t>
  </si>
  <si>
    <t>Office tour &amp; site visit Bank Danamon</t>
  </si>
  <si>
    <t>Danamon Host</t>
  </si>
  <si>
    <t>Lihat operasional &amp; unit kerja</t>
  </si>
  <si>
    <t>Lunch (hosted by Danamon)</t>
  </si>
  <si>
    <t>Indikatif — dikonfirmasi</t>
  </si>
  <si>
    <t>Interactive workshop / case sharing &amp; Q&amp;A</t>
  </si>
  <si>
    <t>Transfer kembali / persiapan</t>
  </si>
  <si>
    <t>KAMIS — Day 4   |   CITY TOUR &amp; CULTURAL IMMERSION</t>
  </si>
  <si>
    <t>KAMIS</t>
  </si>
  <si>
    <t>Transfer</t>
  </si>
  <si>
    <t>08.30–11.00</t>
  </si>
  <si>
    <t>Pusat Kota Surabaya</t>
  </si>
  <si>
    <t>Tour Guide</t>
  </si>
  <si>
    <t>11.00–13.00</t>
  </si>
  <si>
    <t>Batik Class (cultural immersion) + Lunch lokal</t>
  </si>
  <si>
    <t>Sanggar Batik</t>
  </si>
  <si>
    <t>Instruktur</t>
  </si>
  <si>
    <t>Karya batik dibawa pulang peserta</t>
  </si>
  <si>
    <t>13.00–13.30</t>
  </si>
  <si>
    <t>Transfer ke Wonorejo</t>
  </si>
  <si>
    <t>13.30–16.00</t>
  </si>
  <si>
    <t>Wonorejo Mangrove Tour (perahu &amp; eco-education)</t>
  </si>
  <si>
    <t>Ekowisata Mangrove Wonorejo</t>
  </si>
  <si>
    <t>16.00–17.00</t>
  </si>
  <si>
    <t>Malam</t>
  </si>
  <si>
    <t>Free time / optional group dinner</t>
  </si>
  <si>
    <t>JUMAT — Day 5   |   CAPSTONE PRESENTATION + CLOSING</t>
  </si>
  <si>
    <t>JUMAT</t>
  </si>
  <si>
    <t>Persiapan akhir capstone project</t>
  </si>
  <si>
    <t>10.30–12.00</t>
  </si>
  <si>
    <t>Juri</t>
  </si>
  <si>
    <t>13.00–14.30</t>
  </si>
  <si>
    <t>Closing program &amp; certificate ceremony</t>
  </si>
  <si>
    <t>Sertifikat co-branded</t>
  </si>
  <si>
    <t>14.30–16.00</t>
  </si>
  <si>
    <t>Persiapan / istirahat di hotel</t>
  </si>
  <si>
    <t>18.30–21.30</t>
  </si>
  <si>
    <t>Closing Party + Farewell Dinner</t>
  </si>
  <si>
    <t>Hotel / Venue</t>
  </si>
  <si>
    <t>Hiburan, foto bersama, penghargaan</t>
  </si>
  <si>
    <t>21.30</t>
  </si>
  <si>
    <t>SABTU — Day 6   |   DEPARTURE</t>
  </si>
  <si>
    <t>SABTU</t>
  </si>
  <si>
    <t>07.00–09.00</t>
  </si>
  <si>
    <t>Breakfast &amp; check-out</t>
  </si>
  <si>
    <t>09.00–10.00</t>
  </si>
  <si>
    <t>Transfer ke Bandara Juanda</t>
  </si>
  <si>
    <t>Onwards</t>
  </si>
  <si>
    <t>Keberangkatan kembali ke negara asal</t>
  </si>
  <si>
    <t>See-off peserta</t>
  </si>
  <si>
    <t>RANCANGAN ANGGARAN BELANJA (RAB)</t>
  </si>
  <si>
    <t>PETRA x DANAMON International Banking Immersion Program — Pilot Cohort</t>
  </si>
  <si>
    <t>No</t>
  </si>
  <si>
    <t>Uraian</t>
  </si>
  <si>
    <t>Volume</t>
  </si>
  <si>
    <t>Satuan</t>
  </si>
  <si>
    <t>Frekuensi</t>
  </si>
  <si>
    <t>Harga Satuan (Rp)</t>
  </si>
  <si>
    <t>Jumlah (Rp)</t>
  </si>
  <si>
    <t>A. AKOMODASI</t>
  </si>
  <si>
    <t>Hotel peserta (twin share)</t>
  </si>
  <si>
    <t>kamar</t>
  </si>
  <si>
    <t>Bintang 3–4, termasuk breakfast</t>
  </si>
  <si>
    <t>Hotel pendamping / dosen Jepang</t>
  </si>
  <si>
    <t>Opsional</t>
  </si>
  <si>
    <t>Subtotal A</t>
  </si>
  <si>
    <t>B. TRANSPORTASI</t>
  </si>
  <si>
    <t>Airport transfer (pickup &amp; drop)</t>
  </si>
  <si>
    <t>trip</t>
  </si>
  <si>
    <t>Bus + koordinasi LO</t>
  </si>
  <si>
    <t>Bus operasional harian</t>
  </si>
  <si>
    <t>bus</t>
  </si>
  <si>
    <t>Senin–Jumat</t>
  </si>
  <si>
    <t>BBM, tol, parkir &amp; meal driver</t>
  </si>
  <si>
    <t>paket</t>
  </si>
  <si>
    <t>Per hari operasional</t>
  </si>
  <si>
    <t>Subtotal B</t>
  </si>
  <si>
    <t>C. KONSUMSI</t>
  </si>
  <si>
    <t>Makan siang peserta Jepang</t>
  </si>
  <si>
    <t>pax</t>
  </si>
  <si>
    <t>Hari kerja (sebagian dapat di-host)</t>
  </si>
  <si>
    <t>Makan malam peserta Jepang (non-acara)</t>
  </si>
  <si>
    <t>Min, Sel, Rab, Kam</t>
  </si>
  <si>
    <t>Coffee break sesi lecture</t>
  </si>
  <si>
    <t>Sel, Rab, Jum (2 sesi/hari)</t>
  </si>
  <si>
    <t>Makan siang peserta lokal (sesi bersama)</t>
  </si>
  <si>
    <t>Opsional — dapat dihapus</t>
  </si>
  <si>
    <t>Subtotal C</t>
  </si>
  <si>
    <t>D. AKADEMIK &amp; SERTIFIKAT</t>
  </si>
  <si>
    <t>sesi</t>
  </si>
  <si>
    <t>2 dosen x 2 sesi</t>
  </si>
  <si>
    <t>Token / plakat narasumber Danamon</t>
  </si>
  <si>
    <t>Cendera mata</t>
  </si>
  <si>
    <t>Sewa ruang/aula &amp; peralatan AV</t>
  </si>
  <si>
    <t>Hari lecture</t>
  </si>
  <si>
    <t>Seminar kit &amp; materi</t>
  </si>
  <si>
    <t>Modul, notebook, pen</t>
  </si>
  <si>
    <t>Subtotal D</t>
  </si>
  <si>
    <t>E. AKTIVITAS &amp; KULTURAL</t>
  </si>
  <si>
    <t>Surabaya City Tour (guide + tiket masuk)</t>
  </si>
  <si>
    <t>Batik class (instruktur + bahan)</t>
  </si>
  <si>
    <t>Termasuk kain &amp; alat</t>
  </si>
  <si>
    <t>Wonorejo Mangrove Tour (perahu + tiket)</t>
  </si>
  <si>
    <t>Subtotal E</t>
  </si>
  <si>
    <t>F. ACARA (OPENING / CLOSING / FAREWELL)</t>
  </si>
  <si>
    <t>Opening ceremony (dekor, sound, MC, snack)</t>
  </si>
  <si>
    <t>Untuk seluruh tamu</t>
  </si>
  <si>
    <t>Welcome dinner (Minggu)</t>
  </si>
  <si>
    <t>Closing party + farewell dinner (catering)</t>
  </si>
  <si>
    <t>Peserta + tamu undangan</t>
  </si>
  <si>
    <t>Dekorasi &amp; hiburan closing</t>
  </si>
  <si>
    <t>Panggung, band/MC</t>
  </si>
  <si>
    <t>Hadiah &amp; sertifikat capstone</t>
  </si>
  <si>
    <t>Best team awards</t>
  </si>
  <si>
    <t>Subtotal F</t>
  </si>
  <si>
    <t>G. MERCHANDISE &amp; DOKUMENTASI</t>
  </si>
  <si>
    <t>Welcome kit / goodie bag</t>
  </si>
  <si>
    <t>Tote, lanyard, booklet</t>
  </si>
  <si>
    <t>Program apparel (t-shirt)</t>
  </si>
  <si>
    <t>Dokumentasi foto &amp; video</t>
  </si>
  <si>
    <t>Tim profesional, 1 minggu</t>
  </si>
  <si>
    <t>Banner, backdrop, spanduk</t>
  </si>
  <si>
    <t>Subtotal G</t>
  </si>
  <si>
    <t>H. OPERASIONAL &amp; LAIN-LAIN</t>
  </si>
  <si>
    <t>Sekretariat, ATK, printing</t>
  </si>
  <si>
    <t>Asuransi &amp; P3K peserta</t>
  </si>
  <si>
    <t>Asuransi perjalanan lokal</t>
  </si>
  <si>
    <t>LO / buddy (konsumsi &amp; transport)</t>
  </si>
  <si>
    <t>Mahasiswa volunteer</t>
  </si>
  <si>
    <t>Subtotal H</t>
  </si>
  <si>
    <t>SUBTOTAL PROGRAM</t>
  </si>
  <si>
    <t>Contingency</t>
  </si>
  <si>
    <t>GRAND TOTAL (IDR)</t>
  </si>
  <si>
    <t>Biaya per peserta Jepang (indikatif, IDR)</t>
  </si>
  <si>
    <t>Setara per peserta Jepang (indikatif, USD)</t>
  </si>
  <si>
    <t>ASUMSI &amp; PARAMETER PERENCANAAN</t>
  </si>
  <si>
    <t>Parameter</t>
  </si>
  <si>
    <t>Nilai</t>
  </si>
  <si>
    <t>Catatan</t>
  </si>
  <si>
    <t>Peserta Jepang (funded cohort)</t>
  </si>
  <si>
    <t>Range pilot 15–20 — ubah sesuai final</t>
  </si>
  <si>
    <t>Peserta Lokal (PCU)</t>
  </si>
  <si>
    <t>Hadir di lecture, kultural &amp; acara</t>
  </si>
  <si>
    <t>Total Peserta</t>
  </si>
  <si>
    <t>Otomatis</t>
  </si>
  <si>
    <t>Pendamping / Dosen Jepang</t>
  </si>
  <si>
    <t>Jumlah Malam Menginap</t>
  </si>
  <si>
    <t>Minggu–Jumat (check-out Sabtu)</t>
  </si>
  <si>
    <t>Peserta per Kamar (twin share)</t>
  </si>
  <si>
    <t>Jumlah Kamar Peserta</t>
  </si>
  <si>
    <t>Contingency (%)</t>
  </si>
  <si>
    <t>Cadangan tak terduga</t>
  </si>
  <si>
    <t>Kurs referensi (info, IDR per USD)</t>
  </si>
  <si>
    <t>Hanya untuk konversi indikatif</t>
  </si>
  <si>
    <t>Pilot Cohort  |  Peserta Jepang + Mahasiswa PETRA  |  Minggu (Arrival) – Sabtu (Departure)</t>
  </si>
  <si>
    <t>Transfer hotel → kampus PETRA</t>
  </si>
  <si>
    <t>Opening Ceremony — sambutan Rektor PETRA &amp; perwakilan Danamon</t>
  </si>
  <si>
    <t>Auditorium PETRA</t>
  </si>
  <si>
    <t>PETRA</t>
  </si>
  <si>
    <t>Ruang Kelas PETRA</t>
  </si>
  <si>
    <t>Narasumber PETRA</t>
  </si>
  <si>
    <t>Campus Tour PETRA (fasilitas, lab, student center)</t>
  </si>
  <si>
    <t>Kampus PETRA</t>
  </si>
  <si>
    <t>Capstone Presentation — penilaian juri PETRA + Danamon</t>
  </si>
  <si>
    <t>Ruang Kelas SBM</t>
  </si>
  <si>
    <t>Surabaya City Tour (Tugu Pahlawan, Kampung Maspati/Peneleh, Kota Lama)</t>
  </si>
  <si>
    <t>Honorarium / token narasumber PETRA</t>
  </si>
  <si>
    <t>PETRA + Danamon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</si>
</sst>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6" formatCode="&quot;Rp&quot;#,##0.00"/>
    <numFmt numFmtId="167" formatCode="_-[$$-409]* #,##0.00_ ;_-[$$-409]* \-#,##0.00\ ;_-[$$-409]* &quot;-&quot;??_ ;_-@_ "/>
  </numFmts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0F52BA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sz val="9"/>
      <color rgb="FF0000FF"/>
      <name val="Arial"/>
      <family val="2"/>
    </font>
    <font>
      <sz val="8"/>
      <color rgb="FF595959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F52BA"/>
        <bgColor rgb="FF333399"/>
      </patternFill>
    </fill>
    <fill>
      <patternFill patternType="solid">
        <fgColor rgb="FF00843D"/>
        <bgColor rgb="FF008000"/>
      </patternFill>
    </fill>
    <fill>
      <patternFill patternType="solid">
        <fgColor rgb="FFE4F3EA"/>
        <bgColor rgb="FFEAF1FB"/>
      </patternFill>
    </fill>
    <fill>
      <patternFill patternType="solid">
        <fgColor rgb="FFFFFFFF"/>
        <bgColor rgb="FFEAF1FB"/>
      </patternFill>
    </fill>
    <fill>
      <patternFill patternType="solid">
        <fgColor rgb="FFEAF1FB"/>
        <bgColor rgb="FFE4F3EA"/>
      </patternFill>
    </fill>
    <fill>
      <patternFill patternType="solid">
        <fgColor rgb="FFD9E1F2"/>
        <bgColor rgb="FFE4F3EA"/>
      </patternFill>
    </fill>
    <fill>
      <patternFill patternType="solid">
        <fgColor rgb="FFFFF7C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5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9" fontId="13" fillId="7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3" fontId="16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9" fontId="16" fillId="8" borderId="1" xfId="0" applyNumberFormat="1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43D"/>
      <rgbColor rgb="FFBFBFBF"/>
      <rgbColor rgb="FF808080"/>
      <rgbColor rgb="FF9999FF"/>
      <rgbColor rgb="FF993366"/>
      <rgbColor rgb="FFFFF7CC"/>
      <rgbColor rgb="FFE4F3EA"/>
      <rgbColor rgb="FF660066"/>
      <rgbColor rgb="FFFF8080"/>
      <rgbColor rgb="FF0F52BA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showGridLines="0" tabSelected="1" zoomScaleNormal="100" workbookViewId="0">
      <pane ySplit="5" topLeftCell="A6" activePane="bottomLeft" state="frozen"/>
      <selection pane="bottomLeft" activeCell="C10" sqref="C10"/>
    </sheetView>
  </sheetViews>
  <sheetFormatPr defaultColWidth="8.7109375" defaultRowHeight="15" x14ac:dyDescent="0.25"/>
  <cols>
    <col min="1" max="1" width="16" customWidth="1"/>
    <col min="2" max="2" width="14" customWidth="1"/>
    <col min="3" max="3" width="46" customWidth="1"/>
    <col min="4" max="4" width="26" customWidth="1"/>
    <col min="5" max="5" width="18" customWidth="1"/>
    <col min="6" max="6" width="30" customWidth="1"/>
  </cols>
  <sheetData>
    <row r="1" spans="1:6" ht="24" customHeight="1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5" t="s">
        <v>1</v>
      </c>
      <c r="B2" s="5"/>
      <c r="C2" s="5"/>
      <c r="D2" s="5"/>
      <c r="E2" s="5"/>
      <c r="F2" s="5"/>
    </row>
    <row r="3" spans="1:6" ht="15.75" customHeight="1" x14ac:dyDescent="0.25">
      <c r="A3" s="4" t="s">
        <v>224</v>
      </c>
      <c r="B3" s="4"/>
      <c r="C3" s="4"/>
      <c r="D3" s="4"/>
      <c r="E3" s="4"/>
      <c r="F3" s="4"/>
    </row>
    <row r="5" spans="1:6" ht="21.75" customHeight="1" x14ac:dyDescent="0.25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</row>
    <row r="6" spans="1:6" ht="19.5" customHeight="1" x14ac:dyDescent="0.25">
      <c r="A6" s="3" t="s">
        <v>8</v>
      </c>
      <c r="B6" s="3"/>
      <c r="C6" s="3"/>
      <c r="D6" s="3"/>
      <c r="E6" s="3"/>
      <c r="F6" s="3"/>
    </row>
    <row r="7" spans="1:6" ht="27.75" customHeight="1" x14ac:dyDescent="0.25">
      <c r="A7" s="8" t="s">
        <v>9</v>
      </c>
      <c r="B7" s="9" t="s">
        <v>10</v>
      </c>
      <c r="C7" s="10" t="s">
        <v>11</v>
      </c>
      <c r="D7" s="10" t="s">
        <v>12</v>
      </c>
      <c r="E7" s="10" t="s">
        <v>13</v>
      </c>
      <c r="F7" s="10" t="s">
        <v>14</v>
      </c>
    </row>
    <row r="8" spans="1:6" ht="27.75" customHeight="1" x14ac:dyDescent="0.25">
      <c r="A8" s="8" t="s">
        <v>9</v>
      </c>
      <c r="B8" s="9" t="s">
        <v>15</v>
      </c>
      <c r="C8" s="10" t="s">
        <v>16</v>
      </c>
      <c r="D8" s="10" t="s">
        <v>17</v>
      </c>
      <c r="E8" s="10" t="s">
        <v>13</v>
      </c>
      <c r="F8" s="10" t="s">
        <v>18</v>
      </c>
    </row>
    <row r="9" spans="1:6" ht="27.75" customHeight="1" x14ac:dyDescent="0.25">
      <c r="A9" s="8" t="s">
        <v>9</v>
      </c>
      <c r="B9" s="9" t="s">
        <v>19</v>
      </c>
      <c r="C9" s="10" t="s">
        <v>20</v>
      </c>
      <c r="D9" s="10" t="s">
        <v>17</v>
      </c>
      <c r="E9" s="10" t="s">
        <v>21</v>
      </c>
      <c r="F9" s="10" t="s">
        <v>22</v>
      </c>
    </row>
    <row r="10" spans="1:6" ht="27.75" customHeight="1" x14ac:dyDescent="0.25">
      <c r="A10" s="8" t="s">
        <v>9</v>
      </c>
      <c r="B10" s="9" t="s">
        <v>23</v>
      </c>
      <c r="C10" s="10" t="s">
        <v>24</v>
      </c>
      <c r="D10" s="10" t="s">
        <v>17</v>
      </c>
      <c r="E10" s="10" t="s">
        <v>25</v>
      </c>
      <c r="F10" s="10" t="s">
        <v>26</v>
      </c>
    </row>
    <row r="11" spans="1:6" ht="19.5" customHeight="1" x14ac:dyDescent="0.25">
      <c r="A11" s="3" t="s">
        <v>27</v>
      </c>
      <c r="B11" s="3"/>
      <c r="C11" s="3"/>
      <c r="D11" s="3"/>
      <c r="E11" s="3"/>
      <c r="F11" s="3"/>
    </row>
    <row r="12" spans="1:6" ht="27.75" customHeight="1" x14ac:dyDescent="0.25">
      <c r="A12" s="11" t="s">
        <v>28</v>
      </c>
      <c r="B12" s="12" t="s">
        <v>29</v>
      </c>
      <c r="C12" s="13" t="s">
        <v>225</v>
      </c>
      <c r="D12" s="13" t="s">
        <v>25</v>
      </c>
      <c r="E12" s="13" t="s">
        <v>13</v>
      </c>
      <c r="F12" s="13"/>
    </row>
    <row r="13" spans="1:6" ht="27.75" customHeight="1" x14ac:dyDescent="0.25">
      <c r="A13" s="11" t="s">
        <v>28</v>
      </c>
      <c r="B13" s="12" t="s">
        <v>30</v>
      </c>
      <c r="C13" s="13" t="s">
        <v>226</v>
      </c>
      <c r="D13" s="13" t="s">
        <v>227</v>
      </c>
      <c r="E13" s="13" t="s">
        <v>21</v>
      </c>
      <c r="F13" s="13" t="s">
        <v>31</v>
      </c>
    </row>
    <row r="14" spans="1:6" ht="27.75" customHeight="1" x14ac:dyDescent="0.25">
      <c r="A14" s="11" t="s">
        <v>28</v>
      </c>
      <c r="B14" s="12" t="s">
        <v>32</v>
      </c>
      <c r="C14" s="13" t="s">
        <v>33</v>
      </c>
      <c r="D14" s="13" t="s">
        <v>228</v>
      </c>
      <c r="E14" s="13" t="s">
        <v>25</v>
      </c>
      <c r="F14" s="13"/>
    </row>
    <row r="15" spans="1:6" ht="27.75" customHeight="1" x14ac:dyDescent="0.25">
      <c r="A15" s="11" t="s">
        <v>28</v>
      </c>
      <c r="B15" s="12" t="s">
        <v>34</v>
      </c>
      <c r="C15" s="13" t="s">
        <v>35</v>
      </c>
      <c r="D15" s="13" t="s">
        <v>227</v>
      </c>
      <c r="E15" s="13" t="s">
        <v>36</v>
      </c>
      <c r="F15" s="13" t="s">
        <v>37</v>
      </c>
    </row>
    <row r="16" spans="1:6" ht="27.75" customHeight="1" x14ac:dyDescent="0.25">
      <c r="A16" s="11" t="s">
        <v>28</v>
      </c>
      <c r="B16" s="12" t="s">
        <v>38</v>
      </c>
      <c r="C16" s="13" t="s">
        <v>39</v>
      </c>
      <c r="D16" s="13" t="s">
        <v>228</v>
      </c>
      <c r="E16" s="13" t="s">
        <v>25</v>
      </c>
      <c r="F16" s="13"/>
    </row>
    <row r="17" spans="1:6" ht="27.75" customHeight="1" x14ac:dyDescent="0.25">
      <c r="A17" s="11" t="s">
        <v>28</v>
      </c>
      <c r="B17" s="12" t="s">
        <v>40</v>
      </c>
      <c r="C17" s="13" t="s">
        <v>41</v>
      </c>
      <c r="D17" s="13" t="s">
        <v>228</v>
      </c>
      <c r="E17" s="13" t="s">
        <v>36</v>
      </c>
      <c r="F17" s="13" t="s">
        <v>42</v>
      </c>
    </row>
    <row r="18" spans="1:6" ht="27.75" customHeight="1" x14ac:dyDescent="0.25">
      <c r="A18" s="11" t="s">
        <v>28</v>
      </c>
      <c r="B18" s="12" t="s">
        <v>43</v>
      </c>
      <c r="C18" s="13" t="s">
        <v>44</v>
      </c>
      <c r="D18" s="13" t="s">
        <v>228</v>
      </c>
      <c r="E18" s="13" t="s">
        <v>45</v>
      </c>
      <c r="F18" s="13"/>
    </row>
    <row r="19" spans="1:6" ht="27.75" customHeight="1" x14ac:dyDescent="0.25">
      <c r="A19" s="11" t="s">
        <v>28</v>
      </c>
      <c r="B19" s="12" t="s">
        <v>46</v>
      </c>
      <c r="C19" s="13" t="s">
        <v>47</v>
      </c>
      <c r="D19" s="13" t="s">
        <v>25</v>
      </c>
      <c r="E19" s="13" t="s">
        <v>13</v>
      </c>
      <c r="F19" s="13"/>
    </row>
    <row r="20" spans="1:6" ht="19.5" customHeight="1" x14ac:dyDescent="0.25">
      <c r="A20" s="3" t="s">
        <v>48</v>
      </c>
      <c r="B20" s="3"/>
      <c r="C20" s="3"/>
      <c r="D20" s="3"/>
      <c r="E20" s="3"/>
      <c r="F20" s="3"/>
    </row>
    <row r="21" spans="1:6" ht="27.75" customHeight="1" x14ac:dyDescent="0.25">
      <c r="A21" s="8" t="s">
        <v>49</v>
      </c>
      <c r="B21" s="9" t="s">
        <v>50</v>
      </c>
      <c r="C21" s="10" t="s">
        <v>51</v>
      </c>
      <c r="D21" s="10" t="s">
        <v>25</v>
      </c>
      <c r="E21" s="10" t="s">
        <v>13</v>
      </c>
      <c r="F21" s="10"/>
    </row>
    <row r="22" spans="1:6" ht="27.75" customHeight="1" x14ac:dyDescent="0.25">
      <c r="A22" s="8" t="s">
        <v>49</v>
      </c>
      <c r="B22" s="9" t="s">
        <v>30</v>
      </c>
      <c r="C22" s="10" t="s">
        <v>52</v>
      </c>
      <c r="D22" s="10" t="s">
        <v>234</v>
      </c>
      <c r="E22" s="10" t="s">
        <v>230</v>
      </c>
      <c r="F22" s="10"/>
    </row>
    <row r="23" spans="1:6" ht="27.75" customHeight="1" x14ac:dyDescent="0.25">
      <c r="A23" s="8" t="s">
        <v>49</v>
      </c>
      <c r="B23" s="9" t="s">
        <v>53</v>
      </c>
      <c r="C23" s="10" t="s">
        <v>33</v>
      </c>
      <c r="D23" s="10" t="s">
        <v>228</v>
      </c>
      <c r="E23" s="10" t="s">
        <v>25</v>
      </c>
      <c r="F23" s="10"/>
    </row>
    <row r="24" spans="1:6" ht="27.75" customHeight="1" x14ac:dyDescent="0.25">
      <c r="A24" s="8" t="s">
        <v>49</v>
      </c>
      <c r="B24" s="9" t="s">
        <v>54</v>
      </c>
      <c r="C24" s="10" t="s">
        <v>55</v>
      </c>
      <c r="D24" s="10" t="s">
        <v>234</v>
      </c>
      <c r="E24" s="10" t="s">
        <v>230</v>
      </c>
      <c r="F24" s="10"/>
    </row>
    <row r="25" spans="1:6" ht="27.75" customHeight="1" x14ac:dyDescent="0.25">
      <c r="A25" s="8" t="s">
        <v>49</v>
      </c>
      <c r="B25" s="9" t="s">
        <v>56</v>
      </c>
      <c r="C25" s="10" t="s">
        <v>39</v>
      </c>
      <c r="D25" s="10" t="s">
        <v>228</v>
      </c>
      <c r="E25" s="10" t="s">
        <v>25</v>
      </c>
      <c r="F25" s="10"/>
    </row>
    <row r="26" spans="1:6" ht="27.75" customHeight="1" x14ac:dyDescent="0.25">
      <c r="A26" s="8" t="s">
        <v>49</v>
      </c>
      <c r="B26" s="9" t="s">
        <v>57</v>
      </c>
      <c r="C26" s="10" t="s">
        <v>231</v>
      </c>
      <c r="D26" s="10" t="s">
        <v>232</v>
      </c>
      <c r="E26" s="10" t="s">
        <v>58</v>
      </c>
      <c r="F26" s="10"/>
    </row>
    <row r="27" spans="1:6" ht="27.75" customHeight="1" x14ac:dyDescent="0.25">
      <c r="A27" s="8" t="s">
        <v>49</v>
      </c>
      <c r="B27" s="9" t="s">
        <v>43</v>
      </c>
      <c r="C27" s="10" t="s">
        <v>59</v>
      </c>
      <c r="D27" s="10" t="s">
        <v>228</v>
      </c>
      <c r="E27" s="10" t="s">
        <v>36</v>
      </c>
      <c r="F27" s="10" t="s">
        <v>60</v>
      </c>
    </row>
    <row r="28" spans="1:6" ht="27.75" customHeight="1" x14ac:dyDescent="0.25">
      <c r="A28" s="8" t="s">
        <v>49</v>
      </c>
      <c r="B28" s="9" t="s">
        <v>46</v>
      </c>
      <c r="C28" s="10" t="s">
        <v>47</v>
      </c>
      <c r="D28" s="10" t="s">
        <v>25</v>
      </c>
      <c r="E28" s="10" t="s">
        <v>13</v>
      </c>
      <c r="F28" s="10"/>
    </row>
    <row r="29" spans="1:6" ht="19.5" customHeight="1" x14ac:dyDescent="0.25">
      <c r="A29" s="3" t="s">
        <v>61</v>
      </c>
      <c r="B29" s="3"/>
      <c r="C29" s="3"/>
      <c r="D29" s="3"/>
      <c r="E29" s="3"/>
      <c r="F29" s="3"/>
    </row>
    <row r="30" spans="1:6" ht="27.75" customHeight="1" x14ac:dyDescent="0.25">
      <c r="A30" s="11" t="s">
        <v>62</v>
      </c>
      <c r="B30" s="12" t="s">
        <v>63</v>
      </c>
      <c r="C30" s="13" t="s">
        <v>64</v>
      </c>
      <c r="D30" s="13" t="s">
        <v>25</v>
      </c>
      <c r="E30" s="13" t="s">
        <v>13</v>
      </c>
      <c r="F30" s="13"/>
    </row>
    <row r="31" spans="1:6" ht="27.75" customHeight="1" x14ac:dyDescent="0.25">
      <c r="A31" s="11" t="s">
        <v>62</v>
      </c>
      <c r="B31" s="12" t="s">
        <v>30</v>
      </c>
      <c r="C31" s="13" t="s">
        <v>65</v>
      </c>
      <c r="D31" s="13" t="s">
        <v>66</v>
      </c>
      <c r="E31" s="13" t="s">
        <v>67</v>
      </c>
      <c r="F31" s="13"/>
    </row>
    <row r="32" spans="1:6" ht="27.75" customHeight="1" x14ac:dyDescent="0.25">
      <c r="A32" s="11" t="s">
        <v>62</v>
      </c>
      <c r="B32" s="12" t="s">
        <v>53</v>
      </c>
      <c r="C32" s="13" t="s">
        <v>33</v>
      </c>
      <c r="D32" s="13" t="s">
        <v>68</v>
      </c>
      <c r="E32" s="13" t="s">
        <v>25</v>
      </c>
      <c r="F32" s="13"/>
    </row>
    <row r="33" spans="1:6" ht="27.75" customHeight="1" x14ac:dyDescent="0.25">
      <c r="A33" s="11" t="s">
        <v>62</v>
      </c>
      <c r="B33" s="12" t="s">
        <v>69</v>
      </c>
      <c r="C33" s="13" t="s">
        <v>70</v>
      </c>
      <c r="D33" s="13" t="s">
        <v>66</v>
      </c>
      <c r="E33" s="13" t="s">
        <v>71</v>
      </c>
      <c r="F33" s="13" t="s">
        <v>72</v>
      </c>
    </row>
    <row r="34" spans="1:6" ht="27.75" customHeight="1" x14ac:dyDescent="0.25">
      <c r="A34" s="11" t="s">
        <v>62</v>
      </c>
      <c r="B34" s="12" t="s">
        <v>38</v>
      </c>
      <c r="C34" s="13" t="s">
        <v>73</v>
      </c>
      <c r="D34" s="13" t="s">
        <v>68</v>
      </c>
      <c r="E34" s="13" t="s">
        <v>68</v>
      </c>
      <c r="F34" s="13" t="s">
        <v>74</v>
      </c>
    </row>
    <row r="35" spans="1:6" ht="27.75" customHeight="1" x14ac:dyDescent="0.25">
      <c r="A35" s="11" t="s">
        <v>62</v>
      </c>
      <c r="B35" s="12" t="s">
        <v>40</v>
      </c>
      <c r="C35" s="13" t="s">
        <v>75</v>
      </c>
      <c r="D35" s="13" t="s">
        <v>66</v>
      </c>
      <c r="E35" s="13" t="s">
        <v>68</v>
      </c>
      <c r="F35" s="13"/>
    </row>
    <row r="36" spans="1:6" ht="27.75" customHeight="1" x14ac:dyDescent="0.25">
      <c r="A36" s="11" t="s">
        <v>62</v>
      </c>
      <c r="B36" s="12" t="s">
        <v>43</v>
      </c>
      <c r="C36" s="13" t="s">
        <v>76</v>
      </c>
      <c r="D36" s="13" t="s">
        <v>25</v>
      </c>
      <c r="E36" s="13" t="s">
        <v>13</v>
      </c>
      <c r="F36" s="13"/>
    </row>
    <row r="37" spans="1:6" ht="27.75" customHeight="1" x14ac:dyDescent="0.25">
      <c r="A37" s="11" t="s">
        <v>62</v>
      </c>
      <c r="B37" s="12" t="s">
        <v>46</v>
      </c>
      <c r="C37" s="13" t="s">
        <v>47</v>
      </c>
      <c r="D37" s="13" t="s">
        <v>25</v>
      </c>
      <c r="E37" s="13" t="s">
        <v>13</v>
      </c>
      <c r="F37" s="13"/>
    </row>
    <row r="38" spans="1:6" ht="19.5" customHeight="1" x14ac:dyDescent="0.25">
      <c r="A38" s="3" t="s">
        <v>77</v>
      </c>
      <c r="B38" s="3"/>
      <c r="C38" s="3"/>
      <c r="D38" s="3"/>
      <c r="E38" s="3"/>
      <c r="F38" s="3"/>
    </row>
    <row r="39" spans="1:6" ht="27.75" customHeight="1" x14ac:dyDescent="0.25">
      <c r="A39" s="8" t="s">
        <v>78</v>
      </c>
      <c r="B39" s="9" t="s">
        <v>29</v>
      </c>
      <c r="C39" s="10" t="s">
        <v>79</v>
      </c>
      <c r="D39" s="10" t="s">
        <v>25</v>
      </c>
      <c r="E39" s="10" t="s">
        <v>13</v>
      </c>
      <c r="F39" s="10"/>
    </row>
    <row r="40" spans="1:6" ht="27.75" customHeight="1" x14ac:dyDescent="0.25">
      <c r="A40" s="8" t="s">
        <v>78</v>
      </c>
      <c r="B40" s="9" t="s">
        <v>80</v>
      </c>
      <c r="C40" s="10" t="s">
        <v>235</v>
      </c>
      <c r="D40" s="10" t="s">
        <v>81</v>
      </c>
      <c r="E40" s="10" t="s">
        <v>82</v>
      </c>
      <c r="F40" s="10"/>
    </row>
    <row r="41" spans="1:6" ht="27.75" customHeight="1" x14ac:dyDescent="0.25">
      <c r="A41" s="8" t="s">
        <v>78</v>
      </c>
      <c r="B41" s="9" t="s">
        <v>83</v>
      </c>
      <c r="C41" s="10" t="s">
        <v>84</v>
      </c>
      <c r="D41" s="10" t="s">
        <v>85</v>
      </c>
      <c r="E41" s="10" t="s">
        <v>86</v>
      </c>
      <c r="F41" s="10" t="s">
        <v>87</v>
      </c>
    </row>
    <row r="42" spans="1:6" ht="27.75" customHeight="1" x14ac:dyDescent="0.25">
      <c r="A42" s="8" t="s">
        <v>78</v>
      </c>
      <c r="B42" s="9" t="s">
        <v>88</v>
      </c>
      <c r="C42" s="10" t="s">
        <v>89</v>
      </c>
      <c r="D42" s="10" t="s">
        <v>25</v>
      </c>
      <c r="E42" s="10" t="s">
        <v>13</v>
      </c>
      <c r="F42" s="10"/>
    </row>
    <row r="43" spans="1:6" ht="27.75" customHeight="1" x14ac:dyDescent="0.25">
      <c r="A43" s="8" t="s">
        <v>78</v>
      </c>
      <c r="B43" s="9" t="s">
        <v>90</v>
      </c>
      <c r="C43" s="10" t="s">
        <v>91</v>
      </c>
      <c r="D43" s="10" t="s">
        <v>92</v>
      </c>
      <c r="E43" s="10" t="s">
        <v>82</v>
      </c>
      <c r="F43" s="10"/>
    </row>
    <row r="44" spans="1:6" ht="27.75" customHeight="1" x14ac:dyDescent="0.25">
      <c r="A44" s="8" t="s">
        <v>78</v>
      </c>
      <c r="B44" s="9" t="s">
        <v>93</v>
      </c>
      <c r="C44" s="10" t="s">
        <v>47</v>
      </c>
      <c r="D44" s="10" t="s">
        <v>25</v>
      </c>
      <c r="E44" s="10" t="s">
        <v>13</v>
      </c>
      <c r="F44" s="10"/>
    </row>
    <row r="45" spans="1:6" ht="27.75" customHeight="1" x14ac:dyDescent="0.25">
      <c r="A45" s="8" t="s">
        <v>78</v>
      </c>
      <c r="B45" s="9" t="s">
        <v>94</v>
      </c>
      <c r="C45" s="10" t="s">
        <v>95</v>
      </c>
      <c r="D45" s="10" t="s">
        <v>17</v>
      </c>
      <c r="E45" s="10" t="s">
        <v>25</v>
      </c>
      <c r="F45" s="10"/>
    </row>
    <row r="46" spans="1:6" ht="19.5" customHeight="1" x14ac:dyDescent="0.25">
      <c r="A46" s="3" t="s">
        <v>96</v>
      </c>
      <c r="B46" s="3"/>
      <c r="C46" s="3"/>
      <c r="D46" s="3"/>
      <c r="E46" s="3"/>
      <c r="F46" s="3"/>
    </row>
    <row r="47" spans="1:6" ht="27.75" customHeight="1" x14ac:dyDescent="0.25">
      <c r="A47" s="11" t="s">
        <v>97</v>
      </c>
      <c r="B47" s="12" t="s">
        <v>50</v>
      </c>
      <c r="C47" s="13" t="s">
        <v>51</v>
      </c>
      <c r="D47" s="13" t="s">
        <v>25</v>
      </c>
      <c r="E47" s="13" t="s">
        <v>13</v>
      </c>
      <c r="F47" s="13"/>
    </row>
    <row r="48" spans="1:6" ht="27.75" customHeight="1" x14ac:dyDescent="0.25">
      <c r="A48" s="11" t="s">
        <v>97</v>
      </c>
      <c r="B48" s="12" t="s">
        <v>30</v>
      </c>
      <c r="C48" s="13" t="s">
        <v>98</v>
      </c>
      <c r="D48" s="13" t="s">
        <v>229</v>
      </c>
      <c r="E48" s="13" t="s">
        <v>36</v>
      </c>
      <c r="F48" s="13"/>
    </row>
    <row r="49" spans="1:6" ht="27.75" customHeight="1" x14ac:dyDescent="0.25">
      <c r="A49" s="11" t="s">
        <v>97</v>
      </c>
      <c r="B49" s="12" t="s">
        <v>99</v>
      </c>
      <c r="C49" s="13" t="s">
        <v>233</v>
      </c>
      <c r="D49" s="13" t="s">
        <v>227</v>
      </c>
      <c r="E49" s="13" t="s">
        <v>100</v>
      </c>
      <c r="F49" s="13"/>
    </row>
    <row r="50" spans="1:6" ht="27.75" customHeight="1" x14ac:dyDescent="0.25">
      <c r="A50" s="11" t="s">
        <v>97</v>
      </c>
      <c r="B50" s="12" t="s">
        <v>38</v>
      </c>
      <c r="C50" s="13" t="s">
        <v>39</v>
      </c>
      <c r="D50" s="13" t="s">
        <v>228</v>
      </c>
      <c r="E50" s="13" t="s">
        <v>25</v>
      </c>
      <c r="F50" s="13"/>
    </row>
    <row r="51" spans="1:6" ht="27.75" customHeight="1" x14ac:dyDescent="0.25">
      <c r="A51" s="11" t="s">
        <v>97</v>
      </c>
      <c r="B51" s="12" t="s">
        <v>101</v>
      </c>
      <c r="C51" s="13" t="s">
        <v>102</v>
      </c>
      <c r="D51" s="13" t="s">
        <v>227</v>
      </c>
      <c r="E51" s="13" t="s">
        <v>21</v>
      </c>
      <c r="F51" s="13" t="s">
        <v>103</v>
      </c>
    </row>
    <row r="52" spans="1:6" ht="27.75" customHeight="1" x14ac:dyDescent="0.25">
      <c r="A52" s="11" t="s">
        <v>97</v>
      </c>
      <c r="B52" s="12" t="s">
        <v>104</v>
      </c>
      <c r="C52" s="13" t="s">
        <v>105</v>
      </c>
      <c r="D52" s="13" t="s">
        <v>17</v>
      </c>
      <c r="E52" s="13" t="s">
        <v>25</v>
      </c>
      <c r="F52" s="13"/>
    </row>
    <row r="53" spans="1:6" ht="27.75" customHeight="1" x14ac:dyDescent="0.25">
      <c r="A53" s="11" t="s">
        <v>97</v>
      </c>
      <c r="B53" s="12" t="s">
        <v>106</v>
      </c>
      <c r="C53" s="13" t="s">
        <v>107</v>
      </c>
      <c r="D53" s="13" t="s">
        <v>108</v>
      </c>
      <c r="E53" s="13" t="s">
        <v>21</v>
      </c>
      <c r="F53" s="13" t="s">
        <v>109</v>
      </c>
    </row>
    <row r="54" spans="1:6" ht="27.75" customHeight="1" x14ac:dyDescent="0.25">
      <c r="A54" s="11" t="s">
        <v>97</v>
      </c>
      <c r="B54" s="12" t="s">
        <v>110</v>
      </c>
      <c r="C54" s="13" t="s">
        <v>47</v>
      </c>
      <c r="D54" s="13" t="s">
        <v>25</v>
      </c>
      <c r="E54" s="13" t="s">
        <v>13</v>
      </c>
      <c r="F54" s="13"/>
    </row>
    <row r="55" spans="1:6" ht="19.5" customHeight="1" x14ac:dyDescent="0.25">
      <c r="A55" s="3" t="s">
        <v>111</v>
      </c>
      <c r="B55" s="3"/>
      <c r="C55" s="3"/>
      <c r="D55" s="3"/>
      <c r="E55" s="3"/>
      <c r="F55" s="3"/>
    </row>
    <row r="56" spans="1:6" ht="27.75" customHeight="1" x14ac:dyDescent="0.25">
      <c r="A56" s="8" t="s">
        <v>112</v>
      </c>
      <c r="B56" s="9" t="s">
        <v>113</v>
      </c>
      <c r="C56" s="10" t="s">
        <v>114</v>
      </c>
      <c r="D56" s="10" t="s">
        <v>17</v>
      </c>
      <c r="E56" s="10" t="s">
        <v>25</v>
      </c>
      <c r="F56" s="10"/>
    </row>
    <row r="57" spans="1:6" ht="27.75" customHeight="1" x14ac:dyDescent="0.25">
      <c r="A57" s="8" t="s">
        <v>112</v>
      </c>
      <c r="B57" s="9" t="s">
        <v>115</v>
      </c>
      <c r="C57" s="10" t="s">
        <v>116</v>
      </c>
      <c r="D57" s="10" t="s">
        <v>25</v>
      </c>
      <c r="E57" s="10" t="s">
        <v>13</v>
      </c>
      <c r="F57" s="10"/>
    </row>
    <row r="58" spans="1:6" ht="27.75" customHeight="1" x14ac:dyDescent="0.25">
      <c r="A58" s="8" t="s">
        <v>112</v>
      </c>
      <c r="B58" s="9" t="s">
        <v>117</v>
      </c>
      <c r="C58" s="10" t="s">
        <v>118</v>
      </c>
      <c r="D58" s="10" t="s">
        <v>12</v>
      </c>
      <c r="E58" s="10" t="s">
        <v>13</v>
      </c>
      <c r="F58" s="10" t="s">
        <v>119</v>
      </c>
    </row>
  </sheetData>
  <mergeCells count="10">
    <mergeCell ref="A20:F20"/>
    <mergeCell ref="A29:F29"/>
    <mergeCell ref="A38:F38"/>
    <mergeCell ref="A46:F46"/>
    <mergeCell ref="A55:F55"/>
    <mergeCell ref="A1:F1"/>
    <mergeCell ref="A2:F2"/>
    <mergeCell ref="A3:F3"/>
    <mergeCell ref="A6:F6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showGridLines="0" zoomScaleNormal="100" workbookViewId="0">
      <pane ySplit="4" topLeftCell="A16" activePane="bottomLeft" state="frozen"/>
      <selection pane="bottomLeft" activeCell="G8" sqref="G8"/>
    </sheetView>
  </sheetViews>
  <sheetFormatPr defaultColWidth="8.7109375" defaultRowHeight="15" x14ac:dyDescent="0.25"/>
  <cols>
    <col min="1" max="1" width="5" customWidth="1"/>
    <col min="2" max="2" width="40" customWidth="1"/>
    <col min="3" max="3" width="14" customWidth="1"/>
    <col min="4" max="5" width="12" customWidth="1"/>
    <col min="6" max="6" width="18" customWidth="1"/>
    <col min="7" max="7" width="20" customWidth="1"/>
    <col min="8" max="8" width="34" customWidth="1"/>
  </cols>
  <sheetData>
    <row r="1" spans="1:8" ht="19.5" x14ac:dyDescent="0.25">
      <c r="A1" s="6" t="s">
        <v>120</v>
      </c>
      <c r="B1" s="6"/>
      <c r="C1" s="6"/>
      <c r="D1" s="6"/>
      <c r="E1" s="6"/>
      <c r="F1" s="6"/>
      <c r="G1" s="6"/>
      <c r="H1" s="6"/>
    </row>
    <row r="2" spans="1:8" x14ac:dyDescent="0.25">
      <c r="A2" s="5" t="s">
        <v>121</v>
      </c>
      <c r="B2" s="5"/>
      <c r="C2" s="5"/>
      <c r="D2" s="5"/>
      <c r="E2" s="5"/>
      <c r="F2" s="5"/>
      <c r="G2" s="5"/>
      <c r="H2" s="5"/>
    </row>
    <row r="4" spans="1:8" ht="24" customHeight="1" x14ac:dyDescent="0.25">
      <c r="A4" s="7" t="s">
        <v>122</v>
      </c>
      <c r="B4" s="7" t="s">
        <v>123</v>
      </c>
      <c r="C4" s="7" t="s">
        <v>124</v>
      </c>
      <c r="D4" s="7" t="s">
        <v>125</v>
      </c>
      <c r="E4" s="7" t="s">
        <v>126</v>
      </c>
      <c r="F4" s="7" t="s">
        <v>127</v>
      </c>
      <c r="G4" s="7" t="s">
        <v>128</v>
      </c>
      <c r="H4" s="7" t="s">
        <v>7</v>
      </c>
    </row>
    <row r="5" spans="1:8" x14ac:dyDescent="0.25">
      <c r="A5" s="2" t="s">
        <v>129</v>
      </c>
      <c r="B5" s="2"/>
      <c r="C5" s="2"/>
      <c r="D5" s="2"/>
      <c r="E5" s="2"/>
      <c r="F5" s="2"/>
      <c r="G5" s="2"/>
      <c r="H5" s="2"/>
    </row>
    <row r="6" spans="1:8" ht="25.5" customHeight="1" x14ac:dyDescent="0.25">
      <c r="A6" s="14">
        <v>1</v>
      </c>
      <c r="B6" s="15" t="s">
        <v>130</v>
      </c>
      <c r="C6" s="16">
        <f>Asumsi!$B$9</f>
        <v>10</v>
      </c>
      <c r="D6" s="14" t="s">
        <v>131</v>
      </c>
      <c r="E6" s="16">
        <f>Asumsi!$B$7</f>
        <v>6</v>
      </c>
      <c r="F6" s="17">
        <v>650000</v>
      </c>
      <c r="G6" s="18">
        <f>C6*E6*F6</f>
        <v>39000000</v>
      </c>
      <c r="H6" s="19" t="s">
        <v>132</v>
      </c>
    </row>
    <row r="7" spans="1:8" ht="25.5" customHeight="1" x14ac:dyDescent="0.25">
      <c r="A7" s="14">
        <v>2</v>
      </c>
      <c r="B7" s="15" t="s">
        <v>133</v>
      </c>
      <c r="C7" s="20">
        <v>5</v>
      </c>
      <c r="D7" s="14" t="s">
        <v>131</v>
      </c>
      <c r="E7" s="16">
        <f>Asumsi!$B$7</f>
        <v>6</v>
      </c>
      <c r="F7" s="17">
        <v>650000</v>
      </c>
      <c r="G7" s="18">
        <f>C7*E7*F7</f>
        <v>19500000</v>
      </c>
      <c r="H7" s="19" t="s">
        <v>134</v>
      </c>
    </row>
    <row r="8" spans="1:8" x14ac:dyDescent="0.25">
      <c r="A8" s="21"/>
      <c r="B8" s="22" t="s">
        <v>135</v>
      </c>
      <c r="C8" s="21"/>
      <c r="D8" s="21"/>
      <c r="E8" s="21"/>
      <c r="F8" s="21"/>
      <c r="G8" s="23">
        <f>SUM(G6:G7)</f>
        <v>58500000</v>
      </c>
      <c r="H8" s="21"/>
    </row>
    <row r="10" spans="1:8" x14ac:dyDescent="0.25">
      <c r="A10" s="2" t="s">
        <v>136</v>
      </c>
      <c r="B10" s="2"/>
      <c r="C10" s="2"/>
      <c r="D10" s="2"/>
      <c r="E10" s="2"/>
      <c r="F10" s="2"/>
      <c r="G10" s="2"/>
      <c r="H10" s="2"/>
    </row>
    <row r="11" spans="1:8" ht="25.5" customHeight="1" x14ac:dyDescent="0.25">
      <c r="A11" s="14">
        <v>3</v>
      </c>
      <c r="B11" s="15" t="s">
        <v>137</v>
      </c>
      <c r="C11" s="20">
        <v>2</v>
      </c>
      <c r="D11" s="14" t="s">
        <v>138</v>
      </c>
      <c r="E11" s="20">
        <v>1</v>
      </c>
      <c r="F11" s="17">
        <v>1500000</v>
      </c>
      <c r="G11" s="18">
        <f>C11*E11*F11</f>
        <v>3000000</v>
      </c>
      <c r="H11" s="19" t="s">
        <v>139</v>
      </c>
    </row>
    <row r="12" spans="1:8" ht="25.5" customHeight="1" x14ac:dyDescent="0.25">
      <c r="A12" s="14">
        <v>4</v>
      </c>
      <c r="B12" s="15" t="s">
        <v>140</v>
      </c>
      <c r="C12" s="20">
        <v>1</v>
      </c>
      <c r="D12" s="14" t="s">
        <v>141</v>
      </c>
      <c r="E12" s="20">
        <v>5</v>
      </c>
      <c r="F12" s="17">
        <v>1800000</v>
      </c>
      <c r="G12" s="18">
        <f>C12*E12*F12</f>
        <v>9000000</v>
      </c>
      <c r="H12" s="19" t="s">
        <v>142</v>
      </c>
    </row>
    <row r="13" spans="1:8" ht="25.5" customHeight="1" x14ac:dyDescent="0.25">
      <c r="A13" s="14">
        <v>5</v>
      </c>
      <c r="B13" s="15" t="s">
        <v>143</v>
      </c>
      <c r="C13" s="20">
        <v>1</v>
      </c>
      <c r="D13" s="14" t="s">
        <v>144</v>
      </c>
      <c r="E13" s="20">
        <v>5</v>
      </c>
      <c r="F13" s="17">
        <v>300000</v>
      </c>
      <c r="G13" s="18">
        <f>C13*E13*F13</f>
        <v>1500000</v>
      </c>
      <c r="H13" s="19" t="s">
        <v>145</v>
      </c>
    </row>
    <row r="14" spans="1:8" x14ac:dyDescent="0.25">
      <c r="A14" s="21"/>
      <c r="B14" s="22" t="s">
        <v>146</v>
      </c>
      <c r="C14" s="21"/>
      <c r="D14" s="21"/>
      <c r="E14" s="21"/>
      <c r="F14" s="21"/>
      <c r="G14" s="23">
        <f>SUM(G11:G13)</f>
        <v>13500000</v>
      </c>
      <c r="H14" s="21"/>
    </row>
    <row r="16" spans="1:8" x14ac:dyDescent="0.25">
      <c r="A16" s="2" t="s">
        <v>147</v>
      </c>
      <c r="B16" s="2"/>
      <c r="C16" s="2"/>
      <c r="D16" s="2"/>
      <c r="E16" s="2"/>
      <c r="F16" s="2"/>
      <c r="G16" s="2"/>
      <c r="H16" s="2"/>
    </row>
    <row r="17" spans="1:8" ht="25.5" customHeight="1" x14ac:dyDescent="0.25">
      <c r="A17" s="14">
        <v>6</v>
      </c>
      <c r="B17" s="15" t="s">
        <v>148</v>
      </c>
      <c r="C17" s="16">
        <f>Asumsi!$B$3</f>
        <v>20</v>
      </c>
      <c r="D17" s="14" t="s">
        <v>149</v>
      </c>
      <c r="E17" s="20">
        <v>5</v>
      </c>
      <c r="F17" s="17">
        <v>50000</v>
      </c>
      <c r="G17" s="18">
        <f>C17*E17*F17</f>
        <v>5000000</v>
      </c>
      <c r="H17" s="19" t="s">
        <v>150</v>
      </c>
    </row>
    <row r="18" spans="1:8" ht="25.5" customHeight="1" x14ac:dyDescent="0.25">
      <c r="A18" s="14">
        <v>7</v>
      </c>
      <c r="B18" s="15" t="s">
        <v>151</v>
      </c>
      <c r="C18" s="16">
        <f>Asumsi!$B$3</f>
        <v>20</v>
      </c>
      <c r="D18" s="14" t="s">
        <v>149</v>
      </c>
      <c r="E18" s="20">
        <v>4</v>
      </c>
      <c r="F18" s="17">
        <v>110000</v>
      </c>
      <c r="G18" s="18">
        <f>C18*E18*F18</f>
        <v>8800000</v>
      </c>
      <c r="H18" s="19" t="s">
        <v>152</v>
      </c>
    </row>
    <row r="19" spans="1:8" ht="25.5" customHeight="1" x14ac:dyDescent="0.25">
      <c r="A19" s="14">
        <v>8</v>
      </c>
      <c r="B19" s="15" t="s">
        <v>153</v>
      </c>
      <c r="C19" s="16">
        <f>Asumsi!$B$5</f>
        <v>70</v>
      </c>
      <c r="D19" s="14" t="s">
        <v>149</v>
      </c>
      <c r="E19" s="20">
        <v>3</v>
      </c>
      <c r="F19" s="17">
        <v>35000</v>
      </c>
      <c r="G19" s="18">
        <f>C19*E19*F19</f>
        <v>7350000</v>
      </c>
      <c r="H19" s="19" t="s">
        <v>154</v>
      </c>
    </row>
    <row r="20" spans="1:8" ht="25.5" customHeight="1" x14ac:dyDescent="0.25">
      <c r="A20" s="14">
        <v>9</v>
      </c>
      <c r="B20" s="15" t="s">
        <v>155</v>
      </c>
      <c r="C20" s="20">
        <v>50</v>
      </c>
      <c r="D20" s="14" t="s">
        <v>149</v>
      </c>
      <c r="E20" s="20">
        <v>3</v>
      </c>
      <c r="F20" s="17">
        <v>50000</v>
      </c>
      <c r="G20" s="18">
        <f>C20*E20*F20</f>
        <v>7500000</v>
      </c>
      <c r="H20" s="19" t="s">
        <v>156</v>
      </c>
    </row>
    <row r="21" spans="1:8" x14ac:dyDescent="0.25">
      <c r="A21" s="21"/>
      <c r="B21" s="22" t="s">
        <v>157</v>
      </c>
      <c r="C21" s="21"/>
      <c r="D21" s="21"/>
      <c r="E21" s="21"/>
      <c r="F21" s="21"/>
      <c r="G21" s="23">
        <f>SUM(G17:G20)</f>
        <v>28650000</v>
      </c>
      <c r="H21" s="21"/>
    </row>
    <row r="23" spans="1:8" x14ac:dyDescent="0.25">
      <c r="A23" s="2" t="s">
        <v>158</v>
      </c>
      <c r="B23" s="2"/>
      <c r="C23" s="2"/>
      <c r="D23" s="2"/>
      <c r="E23" s="2"/>
      <c r="F23" s="2"/>
      <c r="G23" s="2"/>
      <c r="H23" s="2"/>
    </row>
    <row r="24" spans="1:8" ht="25.5" customHeight="1" x14ac:dyDescent="0.25">
      <c r="A24" s="14">
        <v>10</v>
      </c>
      <c r="B24" s="15" t="s">
        <v>236</v>
      </c>
      <c r="C24" s="20">
        <v>4</v>
      </c>
      <c r="D24" s="14" t="s">
        <v>159</v>
      </c>
      <c r="E24" s="20">
        <v>1</v>
      </c>
      <c r="F24" s="17">
        <v>1000000</v>
      </c>
      <c r="G24" s="18">
        <f>C24*E24*F24</f>
        <v>4000000</v>
      </c>
      <c r="H24" s="19" t="s">
        <v>160</v>
      </c>
    </row>
    <row r="25" spans="1:8" ht="25.5" customHeight="1" x14ac:dyDescent="0.25">
      <c r="A25" s="14">
        <v>11</v>
      </c>
      <c r="B25" s="15" t="s">
        <v>161</v>
      </c>
      <c r="C25" s="20">
        <v>1</v>
      </c>
      <c r="D25" s="14" t="s">
        <v>144</v>
      </c>
      <c r="E25" s="20">
        <v>1</v>
      </c>
      <c r="F25" s="17">
        <v>2500000</v>
      </c>
      <c r="G25" s="18">
        <f>C25*E25*F25</f>
        <v>2500000</v>
      </c>
      <c r="H25" s="19" t="s">
        <v>162</v>
      </c>
    </row>
    <row r="26" spans="1:8" ht="25.5" customHeight="1" x14ac:dyDescent="0.25">
      <c r="A26" s="14">
        <v>12</v>
      </c>
      <c r="B26" s="15" t="s">
        <v>163</v>
      </c>
      <c r="C26" s="20">
        <v>1</v>
      </c>
      <c r="D26" s="14" t="s">
        <v>144</v>
      </c>
      <c r="E26" s="20">
        <v>3</v>
      </c>
      <c r="F26" s="17">
        <v>1500000</v>
      </c>
      <c r="G26" s="18">
        <f>C26*E26*F26</f>
        <v>4500000</v>
      </c>
      <c r="H26" s="19" t="s">
        <v>164</v>
      </c>
    </row>
    <row r="27" spans="1:8" ht="25.5" customHeight="1" x14ac:dyDescent="0.25">
      <c r="A27" s="14">
        <v>13</v>
      </c>
      <c r="B27" s="15" t="s">
        <v>103</v>
      </c>
      <c r="C27" s="16">
        <f>Asumsi!$B$5</f>
        <v>70</v>
      </c>
      <c r="D27" s="14" t="s">
        <v>149</v>
      </c>
      <c r="E27" s="20">
        <v>1</v>
      </c>
      <c r="F27" s="17">
        <v>25000</v>
      </c>
      <c r="G27" s="18">
        <f>C27*E27*F27</f>
        <v>1750000</v>
      </c>
      <c r="H27" s="19" t="s">
        <v>237</v>
      </c>
    </row>
    <row r="28" spans="1:8" ht="25.5" customHeight="1" x14ac:dyDescent="0.25">
      <c r="A28" s="14">
        <v>14</v>
      </c>
      <c r="B28" s="15" t="s">
        <v>165</v>
      </c>
      <c r="C28" s="16">
        <f>Asumsi!$B$5</f>
        <v>70</v>
      </c>
      <c r="D28" s="14" t="s">
        <v>149</v>
      </c>
      <c r="E28" s="20">
        <v>1</v>
      </c>
      <c r="F28" s="17">
        <v>50000</v>
      </c>
      <c r="G28" s="18">
        <f>C28*E28*F28</f>
        <v>3500000</v>
      </c>
      <c r="H28" s="19" t="s">
        <v>166</v>
      </c>
    </row>
    <row r="29" spans="1:8" x14ac:dyDescent="0.25">
      <c r="A29" s="21"/>
      <c r="B29" s="22" t="s">
        <v>167</v>
      </c>
      <c r="C29" s="21"/>
      <c r="D29" s="21"/>
      <c r="E29" s="21"/>
      <c r="F29" s="21"/>
      <c r="G29" s="23">
        <f>SUM(G24:G28)</f>
        <v>16250000</v>
      </c>
      <c r="H29" s="21"/>
    </row>
    <row r="31" spans="1:8" x14ac:dyDescent="0.25">
      <c r="A31" s="2" t="s">
        <v>168</v>
      </c>
      <c r="B31" s="2"/>
      <c r="C31" s="2"/>
      <c r="D31" s="2"/>
      <c r="E31" s="2"/>
      <c r="F31" s="2"/>
      <c r="G31" s="2"/>
      <c r="H31" s="2"/>
    </row>
    <row r="32" spans="1:8" ht="25.5" customHeight="1" x14ac:dyDescent="0.25">
      <c r="A32" s="14">
        <v>15</v>
      </c>
      <c r="B32" s="15" t="s">
        <v>169</v>
      </c>
      <c r="C32" s="16">
        <f>Asumsi!$B$5</f>
        <v>70</v>
      </c>
      <c r="D32" s="14" t="s">
        <v>149</v>
      </c>
      <c r="E32" s="20">
        <v>1</v>
      </c>
      <c r="F32" s="17">
        <v>150000</v>
      </c>
      <c r="G32" s="18">
        <f>C32*E32*F32</f>
        <v>10500000</v>
      </c>
      <c r="H32" s="19"/>
    </row>
    <row r="33" spans="1:8" ht="25.5" customHeight="1" x14ac:dyDescent="0.25">
      <c r="A33" s="14">
        <v>16</v>
      </c>
      <c r="B33" s="15" t="s">
        <v>170</v>
      </c>
      <c r="C33" s="16">
        <f>Asumsi!$B$5</f>
        <v>70</v>
      </c>
      <c r="D33" s="14" t="s">
        <v>149</v>
      </c>
      <c r="E33" s="20">
        <v>1</v>
      </c>
      <c r="F33" s="17">
        <v>100000</v>
      </c>
      <c r="G33" s="18">
        <f>C33*E33*F33</f>
        <v>7000000</v>
      </c>
      <c r="H33" s="19" t="s">
        <v>171</v>
      </c>
    </row>
    <row r="34" spans="1:8" ht="25.5" customHeight="1" x14ac:dyDescent="0.25">
      <c r="A34" s="14">
        <v>17</v>
      </c>
      <c r="B34" s="15" t="s">
        <v>172</v>
      </c>
      <c r="C34" s="16">
        <f>Asumsi!$B$5</f>
        <v>70</v>
      </c>
      <c r="D34" s="14" t="s">
        <v>149</v>
      </c>
      <c r="E34" s="20">
        <v>1</v>
      </c>
      <c r="F34" s="17">
        <v>125000</v>
      </c>
      <c r="G34" s="18">
        <f>C34*E34*F34</f>
        <v>8750000</v>
      </c>
      <c r="H34" s="19"/>
    </row>
    <row r="35" spans="1:8" x14ac:dyDescent="0.25">
      <c r="A35" s="21"/>
      <c r="B35" s="22" t="s">
        <v>173</v>
      </c>
      <c r="C35" s="21"/>
      <c r="D35" s="21"/>
      <c r="E35" s="21"/>
      <c r="F35" s="21"/>
      <c r="G35" s="23">
        <f>SUM(G32:G34)</f>
        <v>26250000</v>
      </c>
      <c r="H35" s="21"/>
    </row>
    <row r="37" spans="1:8" x14ac:dyDescent="0.25">
      <c r="A37" s="2" t="s">
        <v>174</v>
      </c>
      <c r="B37" s="2"/>
      <c r="C37" s="2"/>
      <c r="D37" s="2"/>
      <c r="E37" s="2"/>
      <c r="F37" s="2"/>
      <c r="G37" s="2"/>
      <c r="H37" s="2"/>
    </row>
    <row r="38" spans="1:8" ht="25.5" customHeight="1" x14ac:dyDescent="0.25">
      <c r="A38" s="14">
        <v>18</v>
      </c>
      <c r="B38" s="15" t="s">
        <v>175</v>
      </c>
      <c r="C38" s="20">
        <v>1</v>
      </c>
      <c r="D38" s="14" t="s">
        <v>144</v>
      </c>
      <c r="E38" s="20">
        <v>1</v>
      </c>
      <c r="F38" s="17">
        <v>8000000</v>
      </c>
      <c r="G38" s="18">
        <f>C38*E38*F38</f>
        <v>8000000</v>
      </c>
      <c r="H38" s="19" t="s">
        <v>176</v>
      </c>
    </row>
    <row r="39" spans="1:8" ht="25.5" customHeight="1" x14ac:dyDescent="0.25">
      <c r="A39" s="14">
        <v>19</v>
      </c>
      <c r="B39" s="15" t="s">
        <v>177</v>
      </c>
      <c r="C39" s="16">
        <f>Asumsi!$B$3</f>
        <v>20</v>
      </c>
      <c r="D39" s="14" t="s">
        <v>149</v>
      </c>
      <c r="E39" s="20">
        <v>1</v>
      </c>
      <c r="F39" s="17">
        <v>100000</v>
      </c>
      <c r="G39" s="18">
        <f>C39*E39*F39</f>
        <v>2000000</v>
      </c>
      <c r="H39" s="19"/>
    </row>
    <row r="40" spans="1:8" ht="25.5" customHeight="1" x14ac:dyDescent="0.25">
      <c r="A40" s="14">
        <v>20</v>
      </c>
      <c r="B40" s="15" t="s">
        <v>178</v>
      </c>
      <c r="C40" s="16">
        <f>Asumsi!$B$5</f>
        <v>70</v>
      </c>
      <c r="D40" s="14" t="s">
        <v>149</v>
      </c>
      <c r="E40" s="20">
        <v>1</v>
      </c>
      <c r="F40" s="17">
        <v>150000</v>
      </c>
      <c r="G40" s="18">
        <f>C40*E40*F40</f>
        <v>10500000</v>
      </c>
      <c r="H40" s="19" t="s">
        <v>179</v>
      </c>
    </row>
    <row r="41" spans="1:8" ht="25.5" customHeight="1" x14ac:dyDescent="0.25">
      <c r="A41" s="14">
        <v>21</v>
      </c>
      <c r="B41" s="15" t="s">
        <v>180</v>
      </c>
      <c r="C41" s="20">
        <v>1</v>
      </c>
      <c r="D41" s="14" t="s">
        <v>144</v>
      </c>
      <c r="E41" s="20">
        <v>1</v>
      </c>
      <c r="F41" s="17">
        <v>6000000</v>
      </c>
      <c r="G41" s="18">
        <f>C41*E41*F41</f>
        <v>6000000</v>
      </c>
      <c r="H41" s="19" t="s">
        <v>181</v>
      </c>
    </row>
    <row r="42" spans="1:8" ht="25.5" customHeight="1" x14ac:dyDescent="0.25">
      <c r="A42" s="14">
        <v>22</v>
      </c>
      <c r="B42" s="15" t="s">
        <v>182</v>
      </c>
      <c r="C42" s="20">
        <v>1</v>
      </c>
      <c r="D42" s="14" t="s">
        <v>144</v>
      </c>
      <c r="E42" s="20">
        <v>1</v>
      </c>
      <c r="F42" s="17">
        <v>3000000</v>
      </c>
      <c r="G42" s="18">
        <f>C42*E42*F42</f>
        <v>3000000</v>
      </c>
      <c r="H42" s="19" t="s">
        <v>183</v>
      </c>
    </row>
    <row r="43" spans="1:8" x14ac:dyDescent="0.25">
      <c r="A43" s="21"/>
      <c r="B43" s="22" t="s">
        <v>184</v>
      </c>
      <c r="C43" s="21"/>
      <c r="D43" s="21"/>
      <c r="E43" s="21"/>
      <c r="F43" s="21"/>
      <c r="G43" s="23">
        <f>SUM(G38:G42)</f>
        <v>29500000</v>
      </c>
      <c r="H43" s="21"/>
    </row>
    <row r="45" spans="1:8" x14ac:dyDescent="0.25">
      <c r="A45" s="2" t="s">
        <v>185</v>
      </c>
      <c r="B45" s="2"/>
      <c r="C45" s="2"/>
      <c r="D45" s="2"/>
      <c r="E45" s="2"/>
      <c r="F45" s="2"/>
      <c r="G45" s="2"/>
      <c r="H45" s="2"/>
    </row>
    <row r="46" spans="1:8" ht="25.5" customHeight="1" x14ac:dyDescent="0.25">
      <c r="A46" s="14">
        <v>23</v>
      </c>
      <c r="B46" s="15" t="s">
        <v>186</v>
      </c>
      <c r="C46" s="16">
        <f>Asumsi!$B$5</f>
        <v>70</v>
      </c>
      <c r="D46" s="14" t="s">
        <v>149</v>
      </c>
      <c r="E46" s="20">
        <v>1</v>
      </c>
      <c r="F46" s="17">
        <v>100000</v>
      </c>
      <c r="G46" s="18">
        <f>C46*E46*F46</f>
        <v>7000000</v>
      </c>
      <c r="H46" s="19" t="s">
        <v>187</v>
      </c>
    </row>
    <row r="47" spans="1:8" ht="25.5" customHeight="1" x14ac:dyDescent="0.25">
      <c r="A47" s="14">
        <v>24</v>
      </c>
      <c r="B47" s="15" t="s">
        <v>188</v>
      </c>
      <c r="C47" s="16">
        <f>Asumsi!$B$5</f>
        <v>70</v>
      </c>
      <c r="D47" s="14" t="s">
        <v>149</v>
      </c>
      <c r="E47" s="20">
        <v>1</v>
      </c>
      <c r="F47" s="17">
        <v>80000</v>
      </c>
      <c r="G47" s="18">
        <f>C47*E47*F47</f>
        <v>5600000</v>
      </c>
      <c r="H47" s="19"/>
    </row>
    <row r="48" spans="1:8" ht="25.5" customHeight="1" x14ac:dyDescent="0.25">
      <c r="A48" s="14">
        <v>25</v>
      </c>
      <c r="B48" s="15" t="s">
        <v>189</v>
      </c>
      <c r="C48" s="20">
        <v>1</v>
      </c>
      <c r="D48" s="14" t="s">
        <v>144</v>
      </c>
      <c r="E48" s="20">
        <v>1</v>
      </c>
      <c r="F48" s="17">
        <v>10000000</v>
      </c>
      <c r="G48" s="18">
        <f>C48*E48*F48</f>
        <v>10000000</v>
      </c>
      <c r="H48" s="19" t="s">
        <v>190</v>
      </c>
    </row>
    <row r="49" spans="1:8" ht="25.5" customHeight="1" x14ac:dyDescent="0.25">
      <c r="A49" s="14">
        <v>26</v>
      </c>
      <c r="B49" s="15" t="s">
        <v>191</v>
      </c>
      <c r="C49" s="20">
        <v>1</v>
      </c>
      <c r="D49" s="14" t="s">
        <v>144</v>
      </c>
      <c r="E49" s="20">
        <v>1</v>
      </c>
      <c r="F49" s="17">
        <v>3000000</v>
      </c>
      <c r="G49" s="18">
        <f>C49*E49*F49</f>
        <v>3000000</v>
      </c>
      <c r="H49" s="19"/>
    </row>
    <row r="50" spans="1:8" x14ac:dyDescent="0.25">
      <c r="A50" s="21"/>
      <c r="B50" s="22" t="s">
        <v>192</v>
      </c>
      <c r="C50" s="21"/>
      <c r="D50" s="21"/>
      <c r="E50" s="21"/>
      <c r="F50" s="21"/>
      <c r="G50" s="23">
        <f>SUM(G46:G49)</f>
        <v>25600000</v>
      </c>
      <c r="H50" s="21"/>
    </row>
    <row r="52" spans="1:8" x14ac:dyDescent="0.25">
      <c r="A52" s="2" t="s">
        <v>193</v>
      </c>
      <c r="B52" s="2"/>
      <c r="C52" s="2"/>
      <c r="D52" s="2"/>
      <c r="E52" s="2"/>
      <c r="F52" s="2"/>
      <c r="G52" s="2"/>
      <c r="H52" s="2"/>
    </row>
    <row r="53" spans="1:8" ht="25.5" customHeight="1" x14ac:dyDescent="0.25">
      <c r="A53" s="14">
        <v>27</v>
      </c>
      <c r="B53" s="15" t="s">
        <v>194</v>
      </c>
      <c r="C53" s="20">
        <v>1</v>
      </c>
      <c r="D53" s="14" t="s">
        <v>144</v>
      </c>
      <c r="E53" s="20">
        <v>1</v>
      </c>
      <c r="F53" s="17">
        <v>2500000</v>
      </c>
      <c r="G53" s="18">
        <f>C53*E53*F53</f>
        <v>2500000</v>
      </c>
      <c r="H53" s="19"/>
    </row>
    <row r="54" spans="1:8" ht="25.5" customHeight="1" x14ac:dyDescent="0.25">
      <c r="A54" s="14">
        <v>28</v>
      </c>
      <c r="B54" s="15" t="s">
        <v>195</v>
      </c>
      <c r="C54" s="16">
        <f>Asumsi!$B$3</f>
        <v>20</v>
      </c>
      <c r="D54" s="14" t="s">
        <v>149</v>
      </c>
      <c r="E54" s="20">
        <v>1</v>
      </c>
      <c r="F54" s="17">
        <v>100000</v>
      </c>
      <c r="G54" s="18">
        <f>C54*E54*F54</f>
        <v>2000000</v>
      </c>
      <c r="H54" s="19" t="s">
        <v>196</v>
      </c>
    </row>
    <row r="55" spans="1:8" ht="25.5" customHeight="1" x14ac:dyDescent="0.25">
      <c r="A55" s="14">
        <v>29</v>
      </c>
      <c r="B55" s="15" t="s">
        <v>197</v>
      </c>
      <c r="C55" s="20">
        <v>1</v>
      </c>
      <c r="D55" s="14" t="s">
        <v>144</v>
      </c>
      <c r="E55" s="20">
        <v>1</v>
      </c>
      <c r="F55" s="17">
        <v>3000000</v>
      </c>
      <c r="G55" s="18">
        <f>C55*E55*F55</f>
        <v>3000000</v>
      </c>
      <c r="H55" s="19" t="s">
        <v>198</v>
      </c>
    </row>
    <row r="56" spans="1:8" x14ac:dyDescent="0.25">
      <c r="A56" s="21"/>
      <c r="B56" s="22" t="s">
        <v>199</v>
      </c>
      <c r="C56" s="21"/>
      <c r="D56" s="21"/>
      <c r="E56" s="21"/>
      <c r="F56" s="21"/>
      <c r="G56" s="23">
        <f>SUM(G53:G55)</f>
        <v>7500000</v>
      </c>
      <c r="H56" s="21"/>
    </row>
    <row r="58" spans="1:8" x14ac:dyDescent="0.25">
      <c r="A58" s="24"/>
      <c r="B58" s="25" t="s">
        <v>200</v>
      </c>
      <c r="C58" s="24"/>
      <c r="D58" s="24"/>
      <c r="E58" s="24"/>
      <c r="F58" s="24"/>
      <c r="G58" s="26">
        <f>G8+G14+G21+G29+G35+G43+G50+G56</f>
        <v>205750000</v>
      </c>
      <c r="H58" s="24"/>
    </row>
    <row r="59" spans="1:8" x14ac:dyDescent="0.25">
      <c r="A59" s="24"/>
      <c r="B59" s="25" t="s">
        <v>201</v>
      </c>
      <c r="C59" s="24"/>
      <c r="D59" s="24"/>
      <c r="E59" s="24"/>
      <c r="F59" s="27">
        <f>Asumsi!$B$10</f>
        <v>0.1</v>
      </c>
      <c r="G59" s="26">
        <f>G58*Asumsi!$B$10</f>
        <v>20575000</v>
      </c>
      <c r="H59" s="24"/>
    </row>
    <row r="60" spans="1:8" ht="15.75" x14ac:dyDescent="0.25">
      <c r="A60" s="28"/>
      <c r="B60" s="29" t="s">
        <v>202</v>
      </c>
      <c r="C60" s="28"/>
      <c r="D60" s="28"/>
      <c r="E60" s="28"/>
      <c r="F60" s="28"/>
      <c r="G60" s="30">
        <f>G58+G59</f>
        <v>226325000</v>
      </c>
      <c r="H60" s="28"/>
    </row>
    <row r="62" spans="1:8" x14ac:dyDescent="0.25">
      <c r="B62" s="31" t="s">
        <v>203</v>
      </c>
      <c r="G62" s="40">
        <f>G60/Asumsi!$B$3</f>
        <v>11316250</v>
      </c>
    </row>
    <row r="63" spans="1:8" x14ac:dyDescent="0.25">
      <c r="B63" s="32" t="s">
        <v>204</v>
      </c>
      <c r="G63" s="41">
        <f>G62/Asumsi!$B$11</f>
        <v>694.24846625766872</v>
      </c>
    </row>
  </sheetData>
  <mergeCells count="10">
    <mergeCell ref="A52:H52"/>
    <mergeCell ref="A16:H16"/>
    <mergeCell ref="A23:H23"/>
    <mergeCell ref="A31:H31"/>
    <mergeCell ref="A37:H37"/>
    <mergeCell ref="A45:H45"/>
    <mergeCell ref="A1:H1"/>
    <mergeCell ref="A2:H2"/>
    <mergeCell ref="A5:H5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38" customWidth="1"/>
    <col min="2" max="2" width="16" customWidth="1"/>
    <col min="3" max="3" width="44" customWidth="1"/>
  </cols>
  <sheetData>
    <row r="1" spans="1:3" ht="21.75" customHeight="1" x14ac:dyDescent="0.25">
      <c r="A1" s="1" t="s">
        <v>205</v>
      </c>
      <c r="B1" s="1"/>
      <c r="C1" s="1"/>
    </row>
    <row r="2" spans="1:3" x14ac:dyDescent="0.25">
      <c r="A2" s="33" t="s">
        <v>206</v>
      </c>
      <c r="B2" s="33" t="s">
        <v>207</v>
      </c>
      <c r="C2" s="33" t="s">
        <v>208</v>
      </c>
    </row>
    <row r="3" spans="1:3" x14ac:dyDescent="0.25">
      <c r="A3" s="34" t="s">
        <v>209</v>
      </c>
      <c r="B3" s="35">
        <v>20</v>
      </c>
      <c r="C3" s="36" t="s">
        <v>210</v>
      </c>
    </row>
    <row r="4" spans="1:3" x14ac:dyDescent="0.25">
      <c r="A4" s="34" t="s">
        <v>211</v>
      </c>
      <c r="B4" s="35">
        <v>50</v>
      </c>
      <c r="C4" s="36" t="s">
        <v>212</v>
      </c>
    </row>
    <row r="5" spans="1:3" x14ac:dyDescent="0.25">
      <c r="A5" s="34" t="s">
        <v>213</v>
      </c>
      <c r="B5" s="37">
        <f>B3+B4</f>
        <v>70</v>
      </c>
      <c r="C5" s="36" t="s">
        <v>214</v>
      </c>
    </row>
    <row r="6" spans="1:3" x14ac:dyDescent="0.25">
      <c r="A6" s="34" t="s">
        <v>215</v>
      </c>
      <c r="B6" s="35">
        <v>10</v>
      </c>
      <c r="C6" s="36" t="s">
        <v>134</v>
      </c>
    </row>
    <row r="7" spans="1:3" x14ac:dyDescent="0.25">
      <c r="A7" s="34" t="s">
        <v>216</v>
      </c>
      <c r="B7" s="35">
        <v>6</v>
      </c>
      <c r="C7" s="36" t="s">
        <v>217</v>
      </c>
    </row>
    <row r="8" spans="1:3" x14ac:dyDescent="0.25">
      <c r="A8" s="34" t="s">
        <v>218</v>
      </c>
      <c r="B8" s="35">
        <v>2</v>
      </c>
      <c r="C8" s="36"/>
    </row>
    <row r="9" spans="1:3" x14ac:dyDescent="0.25">
      <c r="A9" s="34" t="s">
        <v>219</v>
      </c>
      <c r="B9" s="38">
        <f>ROUNDUP(B3/B8,0)</f>
        <v>10</v>
      </c>
      <c r="C9" s="36" t="s">
        <v>214</v>
      </c>
    </row>
    <row r="10" spans="1:3" x14ac:dyDescent="0.25">
      <c r="A10" s="34" t="s">
        <v>220</v>
      </c>
      <c r="B10" s="39">
        <v>0.1</v>
      </c>
      <c r="C10" s="36" t="s">
        <v>221</v>
      </c>
    </row>
    <row r="11" spans="1:3" x14ac:dyDescent="0.25">
      <c r="A11" s="34" t="s">
        <v>222</v>
      </c>
      <c r="B11" s="35">
        <v>16300</v>
      </c>
      <c r="C11" s="36" t="s">
        <v>223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Rundown</vt:lpstr>
      <vt:lpstr>RAB</vt:lpstr>
      <vt:lpstr>Asumsi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Biro Administrasi Kerjasama dan Pengembangan</cp:lastModifiedBy>
  <cp:revision>0</cp:revision>
  <dcterms:created xsi:type="dcterms:W3CDTF">2026-06-24T06:27:01Z</dcterms:created>
  <dcterms:modified xsi:type="dcterms:W3CDTF">2026-06-24T07:26:22Z</dcterms:modified>
  <dc:language>en-US</dc:language>
</cp:coreProperties>
</file>